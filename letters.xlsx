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ak\OneDrive\Рабочий стол\"/>
    </mc:Choice>
  </mc:AlternateContent>
  <xr:revisionPtr revIDLastSave="0" documentId="13_ncr:1_{0DD4747F-BE15-4C33-9B89-30EA0AEEBD84}" xr6:coauthVersionLast="47" xr6:coauthVersionMax="47" xr10:uidLastSave="{00000000-0000-0000-0000-000000000000}"/>
  <bookViews>
    <workbookView xWindow="19095" yWindow="0" windowWidth="9810" windowHeight="15585" xr2:uid="{31CF1E62-7D6D-4D80-B7A8-01836A8AAD2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1" l="1"/>
  <c r="I9" i="1"/>
  <c r="I8" i="1"/>
  <c r="I7" i="1"/>
  <c r="I6" i="1"/>
  <c r="I5" i="1"/>
  <c r="I4" i="1"/>
  <c r="I12" i="1"/>
  <c r="M12" i="1"/>
  <c r="K12" i="1"/>
  <c r="M10" i="1"/>
  <c r="K10" i="1"/>
  <c r="M9" i="1"/>
  <c r="K9" i="1"/>
  <c r="M8" i="1"/>
  <c r="K8" i="1"/>
  <c r="G7" i="1"/>
  <c r="K7" i="1"/>
  <c r="M7" i="1"/>
  <c r="M6" i="1"/>
  <c r="K6" i="1"/>
  <c r="G4" i="1"/>
  <c r="G5" i="1"/>
  <c r="K5" i="1"/>
  <c r="M5" i="1"/>
  <c r="M4" i="1"/>
  <c r="K4" i="1"/>
</calcChain>
</file>

<file path=xl/sharedStrings.xml><?xml version="1.0" encoding="utf-8"?>
<sst xmlns="http://schemas.openxmlformats.org/spreadsheetml/2006/main" count="81" uniqueCount="49">
  <si>
    <t>0.4</t>
  </si>
  <si>
    <t>letters-60-2</t>
  </si>
  <si>
    <t>letters-60-1</t>
  </si>
  <si>
    <t>0.57</t>
  </si>
  <si>
    <t>0.5</t>
  </si>
  <si>
    <t>0.75</t>
  </si>
  <si>
    <t>0.97</t>
  </si>
  <si>
    <t>0.92</t>
  </si>
  <si>
    <t>0.72</t>
  </si>
  <si>
    <t>min_confidence</t>
  </si>
  <si>
    <t>layers</t>
  </si>
  <si>
    <t>dropout</t>
  </si>
  <si>
    <t>aug</t>
  </si>
  <si>
    <t>rotate hands</t>
  </si>
  <si>
    <t>fully aug as for big model</t>
  </si>
  <si>
    <t>acc</t>
  </si>
  <si>
    <t>lost data</t>
  </si>
  <si>
    <t>train acc</t>
  </si>
  <si>
    <t>??</t>
  </si>
  <si>
    <t>0.83</t>
  </si>
  <si>
    <t>model</t>
  </si>
  <si>
    <t>0.88</t>
  </si>
  <si>
    <t>0.65</t>
  </si>
  <si>
    <t>letters-60-3</t>
  </si>
  <si>
    <t>letters-60-4</t>
  </si>
  <si>
    <t>0.6</t>
  </si>
  <si>
    <t>0.8</t>
  </si>
  <si>
    <t>0.70</t>
  </si>
  <si>
    <t>letters-60-5</t>
  </si>
  <si>
    <t>1.00</t>
  </si>
  <si>
    <t>0.2</t>
  </si>
  <si>
    <t>0.0</t>
  </si>
  <si>
    <t>letters-60-6</t>
  </si>
  <si>
    <t>0.78</t>
  </si>
  <si>
    <t>0.71</t>
  </si>
  <si>
    <t>0.91</t>
  </si>
  <si>
    <t>letters-60-7</t>
  </si>
  <si>
    <t>0.87</t>
  </si>
  <si>
    <t>0.89</t>
  </si>
  <si>
    <t>letters-40-2</t>
  </si>
  <si>
    <t>0.76</t>
  </si>
  <si>
    <t>0.79</t>
  </si>
  <si>
    <t>0.25</t>
  </si>
  <si>
    <t>0.77</t>
  </si>
  <si>
    <t>0.86</t>
  </si>
  <si>
    <t>0.60</t>
  </si>
  <si>
    <t>0.96</t>
  </si>
  <si>
    <t>0.68</t>
  </si>
  <si>
    <t>0.80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</si>
</sst>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rgb="FFCE9178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vertical="center"/>
    </xf>
    <xf numFmtId="10" fontId="0" fillId="0" borderId="0" xfId="1" applyNumberFormat="1" applyFont="1"/>
    <xf numFmtId="0" fontId="2" fillId="2" borderId="0" xfId="0" applyFont="1" applyFill="1" applyAlignment="1">
      <alignment vertical="center"/>
    </xf>
    <xf numFmtId="0" fontId="0" fillId="2" borderId="0" xfId="0" applyFill="1"/>
    <xf numFmtId="10" fontId="0" fillId="2" borderId="0" xfId="1" applyNumberFormat="1" applyFont="1" applyFill="1"/>
    <xf numFmtId="0" fontId="2" fillId="0" borderId="0" xfId="0" applyFont="1" applyFill="1" applyAlignment="1">
      <alignment vertical="center"/>
    </xf>
    <xf numFmtId="0" fontId="0" fillId="0" borderId="0" xfId="0" applyFill="1"/>
    <xf numFmtId="10" fontId="0" fillId="0" borderId="0" xfId="1" applyNumberFormat="1" applyFont="1" applyFill="1"/>
    <xf numFmtId="0" fontId="0" fillId="0" borderId="0" xfId="0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2EDC-B3CB-42DE-84A8-39D9B60B479C}">
  <dimension ref="A1:M12"/>
  <sheetViews>
    <sheetView tabSelected="1" topLeftCell="E1" workbookViewId="0">
      <selection activeCell="L11" sqref="L11"/>
    </sheetView>
  </sheetViews>
  <sheetFormatPr defaultRowHeight="15" x14ac:dyDescent="0.25"/>
  <cols>
    <col min="1" max="1" width="18.42578125" customWidth="1"/>
    <col min="4" max="4" width="29" customWidth="1"/>
    <col min="5" max="5" width="12.7109375" customWidth="1"/>
    <col min="7" max="9" width="9.140625" style="2"/>
    <col min="11" max="11" width="9.140625" style="2"/>
    <col min="13" max="13" width="9.140625" style="2"/>
  </cols>
  <sheetData>
    <row r="1" spans="1:13" x14ac:dyDescent="0.25">
      <c r="A1" t="s">
        <v>20</v>
      </c>
      <c r="B1" t="s">
        <v>10</v>
      </c>
      <c r="C1" t="s">
        <v>11</v>
      </c>
      <c r="D1" t="s">
        <v>12</v>
      </c>
      <c r="F1" s="9" t="s">
        <v>9</v>
      </c>
      <c r="G1" s="9"/>
      <c r="H1" s="9"/>
      <c r="I1" s="9"/>
      <c r="J1" s="9"/>
      <c r="K1" s="9"/>
      <c r="L1" s="9"/>
      <c r="M1" s="9"/>
    </row>
    <row r="2" spans="1:13" x14ac:dyDescent="0.25">
      <c r="F2" s="9">
        <v>0</v>
      </c>
      <c r="G2" s="9"/>
      <c r="H2" s="9" t="s">
        <v>42</v>
      </c>
      <c r="I2" s="9"/>
      <c r="J2" s="9" t="s">
        <v>4</v>
      </c>
      <c r="K2" s="9"/>
      <c r="L2" s="9" t="s">
        <v>5</v>
      </c>
      <c r="M2" s="9"/>
    </row>
    <row r="3" spans="1:13" x14ac:dyDescent="0.25">
      <c r="E3" t="s">
        <v>17</v>
      </c>
      <c r="F3" t="s">
        <v>15</v>
      </c>
      <c r="G3" s="2" t="s">
        <v>16</v>
      </c>
      <c r="H3" s="2" t="s">
        <v>15</v>
      </c>
      <c r="I3" s="2" t="s">
        <v>16</v>
      </c>
      <c r="J3" t="s">
        <v>15</v>
      </c>
      <c r="K3" s="2" t="s">
        <v>16</v>
      </c>
      <c r="L3" t="s">
        <v>15</v>
      </c>
      <c r="M3" s="2" t="s">
        <v>16</v>
      </c>
    </row>
    <row r="4" spans="1:13" x14ac:dyDescent="0.25">
      <c r="A4" s="1" t="s">
        <v>2</v>
      </c>
      <c r="B4">
        <v>64</v>
      </c>
      <c r="C4" t="s">
        <v>0</v>
      </c>
      <c r="D4" t="s">
        <v>13</v>
      </c>
      <c r="E4" t="s">
        <v>18</v>
      </c>
      <c r="F4" t="s">
        <v>3</v>
      </c>
      <c r="G4" s="2">
        <f>0</f>
        <v>0</v>
      </c>
      <c r="H4" s="2" t="s">
        <v>45</v>
      </c>
      <c r="I4" s="2">
        <f>21/302</f>
        <v>6.9536423841059597E-2</v>
      </c>
      <c r="J4" t="s">
        <v>34</v>
      </c>
      <c r="K4" s="2">
        <f>138/302</f>
        <v>0.45695364238410596</v>
      </c>
      <c r="L4" t="s">
        <v>38</v>
      </c>
      <c r="M4" s="2">
        <f>256/302</f>
        <v>0.84768211920529801</v>
      </c>
    </row>
    <row r="5" spans="1:13" s="4" customFormat="1" x14ac:dyDescent="0.25">
      <c r="A5" s="3" t="s">
        <v>1</v>
      </c>
      <c r="B5" s="4">
        <v>64</v>
      </c>
      <c r="C5" s="4" t="s">
        <v>0</v>
      </c>
      <c r="D5" s="4" t="s">
        <v>14</v>
      </c>
      <c r="E5" s="4" t="s">
        <v>19</v>
      </c>
      <c r="F5" s="4" t="s">
        <v>8</v>
      </c>
      <c r="G5" s="5">
        <f>0</f>
        <v>0</v>
      </c>
      <c r="H5" s="5" t="s">
        <v>33</v>
      </c>
      <c r="I5" s="5">
        <f>21/302</f>
        <v>6.9536423841059597E-2</v>
      </c>
      <c r="J5" s="4" t="s">
        <v>21</v>
      </c>
      <c r="K5" s="5">
        <f>105/302</f>
        <v>0.34768211920529801</v>
      </c>
      <c r="L5" s="4" t="s">
        <v>46</v>
      </c>
      <c r="M5" s="5">
        <f>217/302</f>
        <v>0.7185430463576159</v>
      </c>
    </row>
    <row r="6" spans="1:13" x14ac:dyDescent="0.25">
      <c r="A6" s="1" t="s">
        <v>23</v>
      </c>
      <c r="B6">
        <v>128</v>
      </c>
      <c r="C6" t="s">
        <v>0</v>
      </c>
      <c r="D6" t="s">
        <v>14</v>
      </c>
      <c r="E6" t="s">
        <v>21</v>
      </c>
      <c r="F6" t="s">
        <v>22</v>
      </c>
      <c r="G6" s="2">
        <v>0</v>
      </c>
      <c r="H6" s="2" t="s">
        <v>47</v>
      </c>
      <c r="I6" s="2">
        <f>15/302</f>
        <v>4.9668874172185427E-2</v>
      </c>
      <c r="J6" t="s">
        <v>48</v>
      </c>
      <c r="K6" s="2">
        <f>73/302</f>
        <v>0.24172185430463577</v>
      </c>
      <c r="L6" t="s">
        <v>7</v>
      </c>
      <c r="M6" s="2">
        <f>174/302</f>
        <v>0.57615894039735094</v>
      </c>
    </row>
    <row r="7" spans="1:13" x14ac:dyDescent="0.25">
      <c r="A7" s="1" t="s">
        <v>24</v>
      </c>
      <c r="B7">
        <v>128</v>
      </c>
      <c r="C7" t="s">
        <v>25</v>
      </c>
      <c r="D7" t="s">
        <v>14</v>
      </c>
      <c r="E7" t="s">
        <v>26</v>
      </c>
      <c r="F7" t="s">
        <v>27</v>
      </c>
      <c r="G7" s="2">
        <f>0</f>
        <v>0</v>
      </c>
      <c r="H7" s="2" t="s">
        <v>41</v>
      </c>
      <c r="I7" s="2">
        <f>41/302</f>
        <v>0.13576158940397351</v>
      </c>
      <c r="J7" t="s">
        <v>7</v>
      </c>
      <c r="K7" s="2">
        <f>208/302</f>
        <v>0.6887417218543046</v>
      </c>
      <c r="L7" t="s">
        <v>29</v>
      </c>
      <c r="M7" s="2">
        <f>280/302</f>
        <v>0.92715231788079466</v>
      </c>
    </row>
    <row r="8" spans="1:13" x14ac:dyDescent="0.25">
      <c r="A8" s="1" t="s">
        <v>28</v>
      </c>
      <c r="B8">
        <v>32</v>
      </c>
      <c r="C8" t="s">
        <v>0</v>
      </c>
      <c r="D8" t="s">
        <v>14</v>
      </c>
      <c r="E8" t="s">
        <v>33</v>
      </c>
      <c r="F8" t="s">
        <v>34</v>
      </c>
      <c r="G8" s="2">
        <v>0</v>
      </c>
      <c r="H8" s="2" t="s">
        <v>5</v>
      </c>
      <c r="I8" s="2">
        <f>20/302</f>
        <v>6.6225165562913912E-2</v>
      </c>
      <c r="J8" t="s">
        <v>37</v>
      </c>
      <c r="K8" s="2">
        <f>129/302</f>
        <v>0.42715231788079472</v>
      </c>
      <c r="L8" t="s">
        <v>6</v>
      </c>
      <c r="M8" s="2">
        <f>231/302</f>
        <v>0.76490066225165565</v>
      </c>
    </row>
    <row r="9" spans="1:13" x14ac:dyDescent="0.25">
      <c r="A9" s="1" t="s">
        <v>32</v>
      </c>
      <c r="B9">
        <v>32</v>
      </c>
      <c r="C9" t="s">
        <v>31</v>
      </c>
      <c r="D9" t="s">
        <v>14</v>
      </c>
      <c r="E9" t="s">
        <v>35</v>
      </c>
      <c r="F9" t="s">
        <v>5</v>
      </c>
      <c r="G9" s="2">
        <v>0</v>
      </c>
      <c r="H9" s="2" t="s">
        <v>48</v>
      </c>
      <c r="I9" s="2">
        <f>26/302</f>
        <v>8.6092715231788075E-2</v>
      </c>
      <c r="J9" t="s">
        <v>38</v>
      </c>
      <c r="K9" s="2">
        <f>136/302</f>
        <v>0.45033112582781459</v>
      </c>
      <c r="L9" t="s">
        <v>46</v>
      </c>
      <c r="M9" s="2">
        <f>240/302</f>
        <v>0.79470198675496684</v>
      </c>
    </row>
    <row r="10" spans="1:13" x14ac:dyDescent="0.25">
      <c r="A10" s="1" t="s">
        <v>36</v>
      </c>
      <c r="B10">
        <v>64</v>
      </c>
      <c r="C10" t="s">
        <v>30</v>
      </c>
      <c r="D10" t="s">
        <v>14</v>
      </c>
      <c r="E10" t="s">
        <v>37</v>
      </c>
      <c r="F10" t="s">
        <v>8</v>
      </c>
      <c r="G10" s="2">
        <v>0</v>
      </c>
      <c r="H10" s="2" t="s">
        <v>40</v>
      </c>
      <c r="I10" s="2">
        <f>21/302</f>
        <v>6.9536423841059597E-2</v>
      </c>
      <c r="J10" t="s">
        <v>19</v>
      </c>
      <c r="K10" s="2">
        <f>105/302</f>
        <v>0.34768211920529801</v>
      </c>
      <c r="L10" t="s">
        <v>7</v>
      </c>
      <c r="M10" s="2">
        <f>237/302</f>
        <v>0.78476821192052981</v>
      </c>
    </row>
    <row r="12" spans="1:13" s="7" customFormat="1" x14ac:dyDescent="0.25">
      <c r="A12" s="6" t="s">
        <v>39</v>
      </c>
      <c r="B12" s="7">
        <v>64</v>
      </c>
      <c r="C12" s="7" t="s">
        <v>0</v>
      </c>
      <c r="D12" s="7" t="s">
        <v>14</v>
      </c>
      <c r="E12" s="7" t="s">
        <v>40</v>
      </c>
      <c r="F12" s="7" t="s">
        <v>34</v>
      </c>
      <c r="G12" s="8">
        <v>0</v>
      </c>
      <c r="H12" s="8" t="s">
        <v>43</v>
      </c>
      <c r="I12" s="8">
        <f>81/711</f>
        <v>0.11392405063291139</v>
      </c>
      <c r="J12" s="7" t="s">
        <v>44</v>
      </c>
      <c r="K12" s="8">
        <f>318/711</f>
        <v>0.4472573839662447</v>
      </c>
      <c r="L12" s="7" t="s">
        <v>7</v>
      </c>
      <c r="M12" s="8">
        <f>587/711</f>
        <v>0.82559774964838251</v>
      </c>
    </row>
  </sheetData>
  <mergeCells count="5">
    <mergeCell ref="F1:M1"/>
    <mergeCell ref="F2:G2"/>
    <mergeCell ref="J2:K2"/>
    <mergeCell ref="L2:M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Ахмин Максим Сергеевич</dc:creator>
  <cp:lastModifiedBy>Ахмин Максим Сергеевич</cp:lastModifiedBy>
  <dcterms:created xsi:type="dcterms:W3CDTF">2026-04-14T09:44:43Z</dcterms:created>
  <dcterms:modified xsi:type="dcterms:W3CDTF">2026-04-14T11:53:15Z</dcterms:modified>
</cp:coreProperties>
</file>